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A\excel\"/>
    </mc:Choice>
  </mc:AlternateContent>
  <xr:revisionPtr revIDLastSave="0" documentId="13_ncr:1_{43F192D5-4432-4AB5-A8EA-6B0324B54B2E}" xr6:coauthVersionLast="47" xr6:coauthVersionMax="47" xr10:uidLastSave="{00000000-0000-0000-0000-000000000000}"/>
  <bookViews>
    <workbookView xWindow="-120" yWindow="-120" windowWidth="29040" windowHeight="15720" activeTab="1" xr2:uid="{85F2304C-B150-4AF2-8650-B4E4FA62A4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2" l="1"/>
  <c r="I15" i="2"/>
  <c r="I16" i="2"/>
  <c r="I13" i="2"/>
  <c r="H14" i="2"/>
  <c r="H15" i="2"/>
  <c r="H16" i="2"/>
  <c r="H13" i="2"/>
  <c r="F14" i="2"/>
  <c r="F15" i="2"/>
  <c r="F16" i="2"/>
  <c r="F13" i="2"/>
  <c r="M4" i="1"/>
  <c r="M3" i="1"/>
  <c r="L4" i="1"/>
  <c r="L3" i="1"/>
</calcChain>
</file>

<file path=xl/sharedStrings.xml><?xml version="1.0" encoding="utf-8"?>
<sst xmlns="http://schemas.openxmlformats.org/spreadsheetml/2006/main" count="86" uniqueCount="28">
  <si>
    <t>Items</t>
  </si>
  <si>
    <t>Price</t>
  </si>
  <si>
    <t>Date</t>
  </si>
  <si>
    <t>Region</t>
  </si>
  <si>
    <t>Bass Headphones</t>
  </si>
  <si>
    <t>East</t>
  </si>
  <si>
    <t>Footwear</t>
  </si>
  <si>
    <t>Mobile</t>
  </si>
  <si>
    <t>1/17/2000</t>
  </si>
  <si>
    <t>Smartwatch</t>
  </si>
  <si>
    <t>Beard trimmer</t>
  </si>
  <si>
    <t>North</t>
  </si>
  <si>
    <t>Deodarant</t>
  </si>
  <si>
    <t>1/19/2000</t>
  </si>
  <si>
    <t>Shaving cream</t>
  </si>
  <si>
    <t>1/20/2000</t>
  </si>
  <si>
    <t>Wrist watch</t>
  </si>
  <si>
    <t>1/15/2000</t>
  </si>
  <si>
    <t>South</t>
  </si>
  <si>
    <t>Earbuds</t>
  </si>
  <si>
    <t>1/13/2000</t>
  </si>
  <si>
    <t>Jackets</t>
  </si>
  <si>
    <t>West</t>
  </si>
  <si>
    <t>1/22/2000</t>
  </si>
  <si>
    <t>date</t>
  </si>
  <si>
    <t>price</t>
  </si>
  <si>
    <t>footwear</t>
  </si>
  <si>
    <t>Lookup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</si>
</sst>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rgb="FFFFFFFF"/>
      <name val="Amasis mt pro"/>
    </font>
    <font>
      <sz val="16"/>
      <color theme="1"/>
      <name val="Calibri"/>
      <family val="2"/>
      <scheme val="minor"/>
    </font>
    <font>
      <sz val="16"/>
      <color rgb="FF0C0C0C"/>
      <name val="Amasis mt pro"/>
    </font>
    <font>
      <sz val="14"/>
      <color theme="1"/>
      <name val="Arial"/>
      <family val="2"/>
    </font>
    <font>
      <b/>
      <u/>
      <sz val="14"/>
      <color rgb="FFFFFFFF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333F4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0" xfId="0" applyFont="1"/>
    <xf numFmtId="0" fontId="4" fillId="3" borderId="3" xfId="0" applyFont="1" applyFill="1" applyBorder="1" applyAlignment="1">
      <alignment horizontal="center" vertical="center"/>
    </xf>
    <xf numFmtId="8" fontId="4" fillId="3" borderId="4" xfId="0" applyNumberFormat="1" applyFont="1" applyFill="1" applyBorder="1" applyAlignment="1">
      <alignment horizontal="center" wrapText="1"/>
    </xf>
    <xf numFmtId="14" fontId="4" fillId="3" borderId="4" xfId="0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4" fontId="3" fillId="0" borderId="0" xfId="0" applyNumberFormat="1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2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8" fontId="7" fillId="3" borderId="4" xfId="0" applyNumberFormat="1" applyFont="1" applyFill="1" applyBorder="1" applyAlignment="1">
      <alignment horizontal="center" wrapText="1"/>
    </xf>
    <xf numFmtId="14" fontId="7" fillId="3" borderId="4" xfId="0" applyNumberFormat="1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wrapText="1"/>
    </xf>
    <xf numFmtId="14" fontId="5" fillId="4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ACB9-AA89-4739-B8F1-8C506B07E5CC}">
  <dimension ref="A1:O19"/>
  <sheetViews>
    <sheetView zoomScale="91" workbookViewId="0">
      <selection activeCell="L12" sqref="L12"/>
    </sheetView>
  </sheetViews>
  <sheetFormatPr defaultRowHeight="21" x14ac:dyDescent="0.35"/>
  <cols>
    <col min="1" max="1" width="26.28515625" style="4" customWidth="1"/>
    <col min="2" max="2" width="29.42578125" style="4" customWidth="1"/>
    <col min="3" max="3" width="34" style="4" customWidth="1"/>
    <col min="4" max="9" width="9.140625" style="4"/>
    <col min="10" max="10" width="18" style="4" bestFit="1" customWidth="1"/>
    <col min="11" max="11" width="9.140625" style="4"/>
    <col min="12" max="12" width="22.7109375" style="4" customWidth="1"/>
    <col min="13" max="13" width="21.5703125" style="4" customWidth="1"/>
    <col min="14" max="14" width="16" style="4" bestFit="1" customWidth="1"/>
    <col min="15" max="16384" width="9.140625" style="4"/>
  </cols>
  <sheetData>
    <row r="1" spans="1:15" ht="42" thickBot="1" x14ac:dyDescent="0.4">
      <c r="A1" s="2" t="s">
        <v>0</v>
      </c>
      <c r="B1" s="3" t="s">
        <v>1</v>
      </c>
      <c r="C1" s="3" t="s">
        <v>2</v>
      </c>
      <c r="D1" s="3" t="s">
        <v>3</v>
      </c>
    </row>
    <row r="2" spans="1:15" ht="21.75" thickBot="1" x14ac:dyDescent="0.4">
      <c r="A2" s="5" t="s">
        <v>4</v>
      </c>
      <c r="B2" s="6">
        <v>2000</v>
      </c>
      <c r="C2" s="7">
        <v>36739</v>
      </c>
      <c r="D2" s="8" t="s">
        <v>5</v>
      </c>
      <c r="L2" s="4" t="s">
        <v>26</v>
      </c>
      <c r="M2" s="4" t="s">
        <v>10</v>
      </c>
    </row>
    <row r="3" spans="1:15" ht="21.75" thickBot="1" x14ac:dyDescent="0.4">
      <c r="A3" s="9" t="s">
        <v>6</v>
      </c>
      <c r="B3" s="6">
        <v>4000</v>
      </c>
      <c r="C3" s="7">
        <v>36678</v>
      </c>
      <c r="D3" s="8" t="s">
        <v>5</v>
      </c>
      <c r="F3" s="4" t="s">
        <v>25</v>
      </c>
      <c r="L3" s="4">
        <f>VLOOKUP( L2,$A$2:$D$19,2,FALSE)</f>
        <v>4000</v>
      </c>
      <c r="M3" s="4">
        <f>VLOOKUP( M2,$A$2:$D$19,2,FALSE)</f>
        <v>14000</v>
      </c>
      <c r="N3" s="10"/>
      <c r="O3" s="10"/>
    </row>
    <row r="4" spans="1:15" ht="21.75" thickBot="1" x14ac:dyDescent="0.4">
      <c r="A4" s="9" t="s">
        <v>7</v>
      </c>
      <c r="B4" s="6">
        <v>6000</v>
      </c>
      <c r="C4" s="8" t="s">
        <v>8</v>
      </c>
      <c r="D4" s="8" t="s">
        <v>5</v>
      </c>
      <c r="F4" s="4" t="s">
        <v>24</v>
      </c>
      <c r="L4" s="10">
        <f>VLOOKUP(L2,$A$2:$D$19,3,FALSE)</f>
        <v>36678</v>
      </c>
      <c r="M4" s="10">
        <f>VLOOKUP(M2,$A$2:$D$19,3,FALSE)</f>
        <v>36526</v>
      </c>
      <c r="N4" s="10"/>
      <c r="O4" s="10"/>
    </row>
    <row r="5" spans="1:15" ht="21.75" thickBot="1" x14ac:dyDescent="0.4">
      <c r="A5" s="9" t="s">
        <v>7</v>
      </c>
      <c r="B5" s="6">
        <v>8000</v>
      </c>
      <c r="C5" s="7">
        <v>36800</v>
      </c>
      <c r="D5" s="8" t="s">
        <v>5</v>
      </c>
    </row>
    <row r="6" spans="1:15" ht="21.75" thickBot="1" x14ac:dyDescent="0.4">
      <c r="A6" s="9" t="s">
        <v>9</v>
      </c>
      <c r="B6" s="6">
        <v>10000</v>
      </c>
      <c r="C6" s="7">
        <v>36678</v>
      </c>
      <c r="D6" s="8" t="s">
        <v>5</v>
      </c>
      <c r="M6" s="10"/>
    </row>
    <row r="7" spans="1:15" ht="21.75" thickBot="1" x14ac:dyDescent="0.4">
      <c r="A7" s="9" t="s">
        <v>10</v>
      </c>
      <c r="B7" s="6">
        <v>14000</v>
      </c>
      <c r="C7" s="7">
        <v>36526</v>
      </c>
      <c r="D7" s="8" t="s">
        <v>11</v>
      </c>
    </row>
    <row r="8" spans="1:15" ht="21.75" thickBot="1" x14ac:dyDescent="0.4">
      <c r="A8" s="9" t="s">
        <v>12</v>
      </c>
      <c r="B8" s="6">
        <v>16000</v>
      </c>
      <c r="C8" s="7">
        <v>36586</v>
      </c>
      <c r="D8" s="8" t="s">
        <v>11</v>
      </c>
    </row>
    <row r="9" spans="1:15" ht="21.75" thickBot="1" x14ac:dyDescent="0.4">
      <c r="A9" s="9" t="s">
        <v>12</v>
      </c>
      <c r="B9" s="6">
        <v>18000</v>
      </c>
      <c r="C9" s="8" t="s">
        <v>13</v>
      </c>
      <c r="D9" s="8" t="s">
        <v>11</v>
      </c>
    </row>
    <row r="10" spans="1:15" ht="21.75" thickBot="1" x14ac:dyDescent="0.4">
      <c r="A10" s="9" t="s">
        <v>14</v>
      </c>
      <c r="B10" s="6">
        <v>20000</v>
      </c>
      <c r="C10" s="8" t="s">
        <v>15</v>
      </c>
      <c r="D10" s="8" t="s">
        <v>11</v>
      </c>
    </row>
    <row r="11" spans="1:15" ht="21.75" thickBot="1" x14ac:dyDescent="0.4">
      <c r="A11" s="9" t="s">
        <v>16</v>
      </c>
      <c r="B11" s="6">
        <v>25000</v>
      </c>
      <c r="C11" s="7">
        <v>36800</v>
      </c>
      <c r="D11" s="8" t="s">
        <v>11</v>
      </c>
      <c r="J11" s="10"/>
    </row>
    <row r="12" spans="1:15" ht="21.75" thickBot="1" x14ac:dyDescent="0.4">
      <c r="A12" s="5" t="s">
        <v>4</v>
      </c>
      <c r="B12" s="6">
        <v>28000</v>
      </c>
      <c r="C12" s="8" t="s">
        <v>17</v>
      </c>
      <c r="D12" s="8" t="s">
        <v>18</v>
      </c>
      <c r="J12" s="10"/>
    </row>
    <row r="13" spans="1:15" ht="21.75" thickBot="1" x14ac:dyDescent="0.4">
      <c r="A13" s="9" t="s">
        <v>19</v>
      </c>
      <c r="B13" s="6">
        <v>30000</v>
      </c>
      <c r="C13" s="8" t="s">
        <v>20</v>
      </c>
      <c r="D13" s="8" t="s">
        <v>18</v>
      </c>
      <c r="J13" s="10"/>
    </row>
    <row r="14" spans="1:15" ht="21.75" thickBot="1" x14ac:dyDescent="0.4">
      <c r="A14" s="9" t="s">
        <v>21</v>
      </c>
      <c r="B14" s="6">
        <v>20000</v>
      </c>
      <c r="C14" s="8" t="s">
        <v>20</v>
      </c>
      <c r="D14" s="8" t="s">
        <v>18</v>
      </c>
      <c r="J14" s="10"/>
    </row>
    <row r="15" spans="1:15" ht="21.75" thickBot="1" x14ac:dyDescent="0.4">
      <c r="A15" s="9" t="s">
        <v>10</v>
      </c>
      <c r="B15" s="6">
        <v>36000</v>
      </c>
      <c r="C15" s="7">
        <v>36831</v>
      </c>
      <c r="D15" s="8" t="s">
        <v>22</v>
      </c>
      <c r="J15" s="10"/>
    </row>
    <row r="16" spans="1:15" ht="21.75" thickBot="1" x14ac:dyDescent="0.4">
      <c r="A16" s="9" t="s">
        <v>10</v>
      </c>
      <c r="B16" s="6">
        <v>50000</v>
      </c>
      <c r="C16" s="7">
        <v>36861</v>
      </c>
      <c r="D16" s="8" t="s">
        <v>22</v>
      </c>
      <c r="J16" s="10"/>
    </row>
    <row r="17" spans="1:10" ht="21.75" thickBot="1" x14ac:dyDescent="0.4">
      <c r="A17" s="9" t="s">
        <v>19</v>
      </c>
      <c r="B17" s="6">
        <v>38000</v>
      </c>
      <c r="C17" s="7">
        <v>36708</v>
      </c>
      <c r="D17" s="8" t="s">
        <v>22</v>
      </c>
      <c r="J17" s="10"/>
    </row>
    <row r="18" spans="1:10" ht="21.75" thickBot="1" x14ac:dyDescent="0.4">
      <c r="A18" s="9" t="s">
        <v>7</v>
      </c>
      <c r="B18" s="6">
        <v>40000</v>
      </c>
      <c r="C18" s="8" t="s">
        <v>23</v>
      </c>
      <c r="D18" s="8" t="s">
        <v>22</v>
      </c>
      <c r="J18" s="10"/>
    </row>
    <row r="19" spans="1:10" ht="21.75" thickBot="1" x14ac:dyDescent="0.4">
      <c r="A19" s="9" t="s">
        <v>14</v>
      </c>
      <c r="B19" s="6">
        <v>42000</v>
      </c>
      <c r="C19" s="7">
        <v>36617</v>
      </c>
      <c r="D19" s="8" t="s">
        <v>22</v>
      </c>
      <c r="J1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ACB0-1CD2-443D-A4BE-2D62A6B701D6}">
  <dimension ref="A1:Z1000"/>
  <sheetViews>
    <sheetView tabSelected="1" workbookViewId="0">
      <selection activeCell="J11" sqref="J11"/>
    </sheetView>
  </sheetViews>
  <sheetFormatPr defaultRowHeight="18.75" x14ac:dyDescent="0.3"/>
  <cols>
    <col min="1" max="1" width="9.140625" style="1"/>
    <col min="2" max="3" width="17.5703125" style="1" customWidth="1"/>
    <col min="4" max="4" width="23" style="1" customWidth="1"/>
    <col min="5" max="5" width="19.85546875" style="1" customWidth="1"/>
    <col min="6" max="6" width="23.5703125" style="1" customWidth="1"/>
    <col min="7" max="7" width="20.7109375" style="1" customWidth="1"/>
    <col min="8" max="8" width="25.7109375" style="1" customWidth="1"/>
    <col min="9" max="9" width="25.42578125" style="1" customWidth="1"/>
    <col min="10" max="10" width="23" style="1" customWidth="1"/>
    <col min="11" max="11" width="24.42578125" style="1" customWidth="1"/>
    <col min="12" max="12" width="17.42578125" style="1" customWidth="1"/>
    <col min="13" max="16384" width="9.140625" style="1"/>
  </cols>
  <sheetData>
    <row r="1" spans="1:26" ht="19.5" thickBot="1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9.5" thickBo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thickBo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55.5" thickBot="1" x14ac:dyDescent="0.35">
      <c r="A4" s="13"/>
      <c r="B4" s="14" t="s">
        <v>0</v>
      </c>
      <c r="C4" s="15" t="s">
        <v>4</v>
      </c>
      <c r="D4" s="15" t="s">
        <v>6</v>
      </c>
      <c r="E4" s="15" t="s">
        <v>7</v>
      </c>
      <c r="F4" s="15" t="s">
        <v>7</v>
      </c>
      <c r="G4" s="15" t="s">
        <v>9</v>
      </c>
      <c r="H4" s="15" t="s">
        <v>10</v>
      </c>
      <c r="I4" s="15" t="s">
        <v>12</v>
      </c>
      <c r="J4" s="15" t="s">
        <v>12</v>
      </c>
      <c r="K4" s="15" t="s">
        <v>14</v>
      </c>
      <c r="L4" s="15" t="s">
        <v>16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thickBot="1" x14ac:dyDescent="0.35">
      <c r="A5" s="13"/>
      <c r="B5" s="14" t="s">
        <v>1</v>
      </c>
      <c r="C5" s="16">
        <v>2000</v>
      </c>
      <c r="D5" s="16">
        <v>4000</v>
      </c>
      <c r="E5" s="16">
        <v>6000</v>
      </c>
      <c r="F5" s="16">
        <v>8000</v>
      </c>
      <c r="G5" s="16">
        <v>10000</v>
      </c>
      <c r="H5" s="16">
        <v>14000</v>
      </c>
      <c r="I5" s="16">
        <v>16000</v>
      </c>
      <c r="J5" s="16">
        <v>18000</v>
      </c>
      <c r="K5" s="16">
        <v>20000</v>
      </c>
      <c r="L5" s="16">
        <v>25000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9.5" thickBot="1" x14ac:dyDescent="0.35">
      <c r="A6" s="13"/>
      <c r="B6" s="14" t="s">
        <v>2</v>
      </c>
      <c r="C6" s="17">
        <v>36739</v>
      </c>
      <c r="D6" s="17">
        <v>36678</v>
      </c>
      <c r="E6" s="15" t="s">
        <v>8</v>
      </c>
      <c r="F6" s="17">
        <v>36800</v>
      </c>
      <c r="G6" s="17">
        <v>36678</v>
      </c>
      <c r="H6" s="17">
        <v>36526</v>
      </c>
      <c r="I6" s="17">
        <v>36586</v>
      </c>
      <c r="J6" s="15" t="s">
        <v>13</v>
      </c>
      <c r="K6" s="15" t="s">
        <v>15</v>
      </c>
      <c r="L6" s="17">
        <v>36800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7.5" thickBot="1" x14ac:dyDescent="0.35">
      <c r="A7" s="13"/>
      <c r="B7" s="14" t="s">
        <v>3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9.5" thickBot="1" x14ac:dyDescent="0.35">
      <c r="A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9.5" thickBo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thickBo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thickBo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7.5" thickBot="1" x14ac:dyDescent="0.35">
      <c r="A12" s="11"/>
      <c r="B12" s="11"/>
      <c r="C12" s="11"/>
      <c r="D12" s="11"/>
      <c r="E12" s="18" t="s">
        <v>27</v>
      </c>
      <c r="F12" s="19" t="s">
        <v>1</v>
      </c>
      <c r="G12" s="19"/>
      <c r="H12" s="19" t="s">
        <v>2</v>
      </c>
      <c r="I12" s="11" t="s">
        <v>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thickBot="1" x14ac:dyDescent="0.35">
      <c r="A13" s="11"/>
      <c r="B13" s="11"/>
      <c r="C13" s="11"/>
      <c r="D13" s="11"/>
      <c r="E13" s="20" t="s">
        <v>6</v>
      </c>
      <c r="F13" s="21">
        <f>HLOOKUP(Sheet2!E13,Sheet2!$C$4:$L$6,2,)</f>
        <v>4000</v>
      </c>
      <c r="G13" s="21"/>
      <c r="H13" s="22">
        <f>HLOOKUP(E13,$C$4:$L$6,3,)</f>
        <v>36678</v>
      </c>
      <c r="I13" s="11" t="str">
        <f>HLOOKUP(E13,$C$4:$L$7,4,FALSE)</f>
        <v>East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9.5" thickBot="1" x14ac:dyDescent="0.35">
      <c r="A14" s="11"/>
      <c r="B14" s="11"/>
      <c r="C14" s="11"/>
      <c r="D14" s="11"/>
      <c r="E14" s="20" t="s">
        <v>9</v>
      </c>
      <c r="F14" s="21">
        <f>HLOOKUP(Sheet2!E14,Sheet2!$C$4:$L$6,2,)</f>
        <v>10000</v>
      </c>
      <c r="G14" s="21"/>
      <c r="H14" s="22">
        <f>HLOOKUP(E14,$C$4:$L$6,3,)</f>
        <v>36678</v>
      </c>
      <c r="I14" s="11" t="str">
        <f t="shared" ref="I14:I16" si="0">HLOOKUP(E14,$C$4:$L$7,4,FALSE)</f>
        <v>East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9.5" thickBot="1" x14ac:dyDescent="0.35">
      <c r="A15" s="11"/>
      <c r="B15" s="11"/>
      <c r="C15" s="11"/>
      <c r="D15" s="11"/>
      <c r="E15" s="20" t="s">
        <v>12</v>
      </c>
      <c r="F15" s="21">
        <f>HLOOKUP(Sheet2!E15,Sheet2!$C$4:$L$6,2,)</f>
        <v>16000</v>
      </c>
      <c r="G15" s="21"/>
      <c r="H15" s="22">
        <f>HLOOKUP(E15,$C$4:$L$6,3,)</f>
        <v>36586</v>
      </c>
      <c r="I15" s="11" t="str">
        <f t="shared" si="0"/>
        <v>North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7.5" thickBot="1" x14ac:dyDescent="0.35">
      <c r="A16" s="11"/>
      <c r="B16" s="11"/>
      <c r="C16" s="11"/>
      <c r="D16" s="11"/>
      <c r="E16" s="20" t="s">
        <v>10</v>
      </c>
      <c r="F16" s="21">
        <f>HLOOKUP(Sheet2!E16,Sheet2!$C$4:$L$6,2,)</f>
        <v>14000</v>
      </c>
      <c r="G16" s="21"/>
      <c r="H16" s="22">
        <f>HLOOKUP(E16,$C$4:$L$6,3,)</f>
        <v>36526</v>
      </c>
      <c r="I16" s="11" t="str">
        <f t="shared" si="0"/>
        <v>North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9.5" thickBo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9.5" thickBo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9.5" thickBo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9.5" thickBo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9.5" thickBot="1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9.5" thickBot="1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9.5" thickBot="1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9.5" thickBo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9.5" thickBot="1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9.5" thickBo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9.5" thickBo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9.5" thickBo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9.5" thickBo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9.5" thickBo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9.5" thickBo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9.5" thickBo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9.5" thickBo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9.5" thickBo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9.5" thickBo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9.5" thickBo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9.5" thickBo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9.5" thickBo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9.5" thickBo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9.5" thickBo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9.5" thickBo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9.5" thickBo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9.5" thickBo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9.5" thickBo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9.5" thickBo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9.5" thickBo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9.5" thickBo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9.5" thickBo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9.5" thickBo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9.5" thickBo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9.5" thickBo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9.5" thickBo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9.5" thickBo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9.5" thickBo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9.5" thickBo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9.5" thickBo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9.5" thickBo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9.5" thickBo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9.5" thickBo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9.5" thickBo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9.5" thickBo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9.5" thickBo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9.5" thickBo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9.5" thickBo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9.5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9.5" thickBo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9.5" thickBo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9.5" thickBo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9.5" thickBo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9.5" thickBo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9.5" thickBo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9.5" thickBo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9.5" thickBo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9.5" thickBo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9.5" thickBo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9.5" thickBo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9.5" thickBo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9.5" thickBo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9.5" thickBo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9.5" thickBo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9.5" thickBo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9.5" thickBo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9.5" thickBo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9.5" thickBo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9.5" thickBo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9.5" thickBo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9.5" thickBo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9.5" thickBo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9.5" thickBo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9.5" thickBo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9.5" thickBo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9.5" thickBo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9.5" thickBo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9.5" thickBo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9.5" thickBo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9.5" thickBo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9.5" thickBo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9.5" thickBo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9.5" thickBo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9.5" thickBo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9.5" thickBo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9.5" thickBo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9.5" thickBo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9.5" thickBo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9.5" thickBo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9.5" thickBo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9.5" thickBo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9.5" thickBo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9.5" thickBo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9.5" thickBo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9.5" thickBo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9.5" thickBo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9.5" thickBo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9.5" thickBo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9.5" thickBo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9.5" thickBo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9.5" thickBo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9.5" thickBo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9.5" thickBo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9.5" thickBo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9.5" thickBo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9.5" thickBo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9.5" thickBo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9.5" thickBo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9.5" thickBo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9.5" thickBo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9.5" thickBo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9.5" thickBo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9.5" thickBo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9.5" thickBo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9.5" thickBo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9.5" thickBo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9.5" thickBo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9.5" thickBo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9.5" thickBo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9.5" thickBo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9.5" thickBo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9.5" thickBo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9.5" thickBo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9.5" thickBo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9.5" thickBo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9.5" thickBo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9.5" thickBo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9.5" thickBo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9.5" thickBo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9.5" thickBo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9.5" thickBo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9.5" thickBo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9.5" thickBo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9.5" thickBo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9.5" thickBo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9.5" thickBo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9.5" thickBo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9.5" thickBo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9.5" thickBo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9.5" thickBo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9.5" thickBo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9.5" thickBo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9.5" thickBo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9.5" thickBo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9.5" thickBo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9.5" thickBo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9.5" thickBo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9.5" thickBo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9.5" thickBo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9.5" thickBo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9.5" thickBo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9.5" thickBo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9.5" thickBo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9.5" thickBo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9.5" thickBo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9.5" thickBo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9.5" thickBo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9.5" thickBo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9.5" thickBo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9.5" thickBo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9.5" thickBo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9.5" thickBo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9.5" thickBo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9.5" thickBo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9.5" thickBo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9.5" thickBo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9.5" thickBo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9.5" thickBo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9.5" thickBo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9.5" thickBo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9.5" thickBo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9.5" thickBo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9.5" thickBo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9.5" thickBo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9.5" thickBo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9.5" thickBo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9.5" thickBo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9.5" thickBo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9.5" thickBo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9.5" thickBo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9.5" thickBo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9.5" thickBo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9.5" thickBo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9.5" thickBo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9.5" thickBo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9.5" thickBo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9.5" thickBo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9.5" thickBo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9.5" thickBo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9.5" thickBo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9.5" thickBo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9.5" thickBo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9.5" thickBo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9.5" thickBo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9.5" thickBo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9.5" thickBo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9.5" thickBo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9.5" thickBo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9.5" thickBo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9.5" thickBo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9.5" thickBo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9.5" thickBo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9.5" thickBo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9.5" thickBo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9.5" thickBo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9.5" thickBo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9.5" thickBo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9.5" thickBo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9.5" thickBo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9.5" thickBo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9.5" thickBo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9.5" thickBo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9.5" thickBo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9.5" thickBo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9.5" thickBo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9.5" thickBo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9.5" thickBo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9.5" thickBo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9.5" thickBo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9.5" thickBo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9.5" thickBo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9.5" thickBo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9.5" thickBo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9.5" thickBo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9.5" thickBo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9.5" thickBo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9.5" thickBo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9.5" thickBo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9.5" thickBo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9.5" thickBo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9.5" thickBo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9.5" thickBo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9.5" thickBo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9.5" thickBo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9.5" thickBo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9.5" thickBo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9.5" thickBo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9.5" thickBo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9.5" thickBo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9.5" thickBo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9.5" thickBo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9.5" thickBo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9.5" thickBo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9.5" thickBo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9.5" thickBo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9.5" thickBo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9.5" thickBo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9.5" thickBo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9.5" thickBo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9.5" thickBo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9.5" thickBo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9.5" thickBo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9.5" thickBo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9.5" thickBo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9.5" thickBo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9.5" thickBo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9.5" thickBo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9.5" thickBo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9.5" thickBo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9.5" thickBo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9.5" thickBo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9.5" thickBo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9.5" thickBo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9.5" thickBo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9.5" thickBo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9.5" thickBo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9.5" thickBo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9.5" thickBo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9.5" thickBo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9.5" thickBo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9.5" thickBo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9.5" thickBo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9.5" thickBo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9.5" thickBo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9.5" thickBo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9.5" thickBo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9.5" thickBo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9.5" thickBo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9.5" thickBo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9.5" thickBo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9.5" thickBo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9.5" thickBo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9.5" thickBo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9.5" thickBo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9.5" thickBo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9.5" thickBo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9.5" thickBo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9.5" thickBo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9.5" thickBo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9.5" thickBo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9.5" thickBo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9.5" thickBo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9.5" thickBo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9.5" thickBo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9.5" thickBo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9.5" thickBo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9.5" thickBo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9.5" thickBo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9.5" thickBo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9.5" thickBo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9.5" thickBo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9.5" thickBo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9.5" thickBo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9.5" thickBo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9.5" thickBo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9.5" thickBo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9.5" thickBo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9.5" thickBo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9.5" thickBo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9.5" thickBo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9.5" thickBo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9.5" thickBo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9.5" thickBo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9.5" thickBo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9.5" thickBo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9.5" thickBo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9.5" thickBo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9.5" thickBo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9.5" thickBo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9.5" thickBo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9.5" thickBo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9.5" thickBo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9.5" thickBo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9.5" thickBo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9.5" thickBo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9.5" thickBo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9.5" thickBo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9.5" thickBo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9.5" thickBo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9.5" thickBo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9.5" thickBo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9.5" thickBo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9.5" thickBo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9.5" thickBo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9.5" thickBo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9.5" thickBo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9.5" thickBo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9.5" thickBo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9.5" thickBo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9.5" thickBo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9.5" thickBo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9.5" thickBo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9.5" thickBo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9.5" thickBo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9.5" thickBo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9.5" thickBo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9.5" thickBo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9.5" thickBo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9.5" thickBo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9.5" thickBo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9.5" thickBo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9.5" thickBo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9.5" thickBo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9.5" thickBo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9.5" thickBo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9.5" thickBo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9.5" thickBo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9.5" thickBo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9.5" thickBo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9.5" thickBo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9.5" thickBo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9.5" thickBo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9.5" thickBo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9.5" thickBo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9.5" thickBo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9.5" thickBo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9.5" thickBo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9.5" thickBo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9.5" thickBo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9.5" thickBo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9.5" thickBo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9.5" thickBo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9.5" thickBo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9.5" thickBo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9.5" thickBo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9.5" thickBo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9.5" thickBo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9.5" thickBo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9.5" thickBo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9.5" thickBo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9.5" thickBo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9.5" thickBo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9.5" thickBo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9.5" thickBo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9.5" thickBo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9.5" thickBo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9.5" thickBo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9.5" thickBo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9.5" thickBo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9.5" thickBo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9.5" thickBo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9.5" thickBo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9.5" thickBo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9.5" thickBo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9.5" thickBo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9.5" thickBo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9.5" thickBo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9.5" thickBo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9.5" thickBo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9.5" thickBo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9.5" thickBo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9.5" thickBo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9.5" thickBo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9.5" thickBo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9.5" thickBo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9.5" thickBo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9.5" thickBo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9.5" thickBo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9.5" thickBo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9.5" thickBo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9.5" thickBo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9.5" thickBo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9.5" thickBo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9.5" thickBo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9.5" thickBo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9.5" thickBo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9.5" thickBo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9.5" thickBo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9.5" thickBo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9.5" thickBo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9.5" thickBo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9.5" thickBo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9.5" thickBo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9.5" thickBo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9.5" thickBo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9.5" thickBo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9.5" thickBo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9.5" thickBo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9.5" thickBo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9.5" thickBo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9.5" thickBo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9.5" thickBo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9.5" thickBo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9.5" thickBo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9.5" thickBo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9.5" thickBo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9.5" thickBo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9.5" thickBo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9.5" thickBo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9.5" thickBo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9.5" thickBo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9.5" thickBo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9.5" thickBo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9.5" thickBo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9.5" thickBo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9.5" thickBo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9.5" thickBo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9.5" thickBo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9.5" thickBo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9.5" thickBo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9.5" thickBo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9.5" thickBo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9.5" thickBo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9.5" thickBo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9.5" thickBo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9.5" thickBo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9.5" thickBo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9.5" thickBo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9.5" thickBo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9.5" thickBo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9.5" thickBo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9.5" thickBo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9.5" thickBo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9.5" thickBo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9.5" thickBo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9.5" thickBo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9.5" thickBo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9.5" thickBo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9.5" thickBo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9.5" thickBo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9.5" thickBo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9.5" thickBo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9.5" thickBo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9.5" thickBo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9.5" thickBo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9.5" thickBo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9.5" thickBo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9.5" thickBo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9.5" thickBo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9.5" thickBo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9.5" thickBo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9.5" thickBo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9.5" thickBo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9.5" thickBo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9.5" thickBo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9.5" thickBo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9.5" thickBo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9.5" thickBo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9.5" thickBo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9.5" thickBo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9.5" thickBo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9.5" thickBo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9.5" thickBo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9.5" thickBo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9.5" thickBo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9.5" thickBo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9.5" thickBo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9.5" thickBo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9.5" thickBo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9.5" thickBo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9.5" thickBo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9.5" thickBo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9.5" thickBo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9.5" thickBo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9.5" thickBo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9.5" thickBo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9.5" thickBo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9.5" thickBo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9.5" thickBo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9.5" thickBo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9.5" thickBo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9.5" thickBo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9.5" thickBo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9.5" thickBo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9.5" thickBo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9.5" thickBo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9.5" thickBo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9.5" thickBo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9.5" thickBo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9.5" thickBo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9.5" thickBo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9.5" thickBo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9.5" thickBo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9.5" thickBo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9.5" thickBo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9.5" thickBo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9.5" thickBo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9.5" thickBo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9.5" thickBo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9.5" thickBo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9.5" thickBo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9.5" thickBo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9.5" thickBo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9.5" thickBo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9.5" thickBo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9.5" thickBo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9.5" thickBo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9.5" thickBo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9.5" thickBo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9.5" thickBo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9.5" thickBo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9.5" thickBo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9.5" thickBo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9.5" thickBo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9.5" thickBo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9.5" thickBo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9.5" thickBo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9.5" thickBo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9.5" thickBo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9.5" thickBo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9.5" thickBo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9.5" thickBo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9.5" thickBo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9.5" thickBo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9.5" thickBo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9.5" thickBo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9.5" thickBo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9.5" thickBo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9.5" thickBo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9.5" thickBo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9.5" thickBo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9.5" thickBo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9.5" thickBo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9.5" thickBo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9.5" thickBo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9.5" thickBo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9.5" thickBo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9.5" thickBo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9.5" thickBo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9.5" thickBo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9.5" thickBo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9.5" thickBo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9.5" thickBo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9.5" thickBo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9.5" thickBo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9.5" thickBo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9.5" thickBo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9.5" thickBo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9.5" thickBo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9.5" thickBo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9.5" thickBo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9.5" thickBo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9.5" thickBo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9.5" thickBo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9.5" thickBo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9.5" thickBo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9.5" thickBo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9.5" thickBo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9.5" thickBo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9.5" thickBo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9.5" thickBo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9.5" thickBo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9.5" thickBo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9.5" thickBo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9.5" thickBo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9.5" thickBo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9.5" thickBo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9.5" thickBo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9.5" thickBo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9.5" thickBo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9.5" thickBo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9.5" thickBo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9.5" thickBo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9.5" thickBo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9.5" thickBo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9.5" thickBo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9.5" thickBo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9.5" thickBo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9.5" thickBo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9.5" thickBo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9.5" thickBo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9.5" thickBo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9.5" thickBo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9.5" thickBo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9.5" thickBo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9.5" thickBo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9.5" thickBo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9.5" thickBo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9.5" thickBo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9.5" thickBo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9.5" thickBo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9.5" thickBo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9.5" thickBo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9.5" thickBo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9.5" thickBo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9.5" thickBo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9.5" thickBo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9.5" thickBo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9.5" thickBo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9.5" thickBo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9.5" thickBo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9.5" thickBo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9.5" thickBo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9.5" thickBo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9.5" thickBo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9.5" thickBo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9.5" thickBo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9.5" thickBo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9.5" thickBo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9.5" thickBo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9.5" thickBo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9.5" thickBo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9.5" thickBo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9.5" thickBo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9.5" thickBo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9.5" thickBo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9.5" thickBo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9.5" thickBo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9.5" thickBo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9.5" thickBo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9.5" thickBo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9.5" thickBo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9.5" thickBo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9.5" thickBo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9.5" thickBo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9.5" thickBo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9.5" thickBo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9.5" thickBo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9.5" thickBo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9.5" thickBo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9.5" thickBo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9.5" thickBo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9.5" thickBo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9.5" thickBo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9.5" thickBo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9.5" thickBo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9.5" thickBo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9.5" thickBo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9.5" thickBo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9.5" thickBo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9.5" thickBo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9.5" thickBo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9.5" thickBo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9.5" thickBo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9.5" thickBo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9.5" thickBo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9.5" thickBo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9.5" thickBo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9.5" thickBo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9.5" thickBo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9.5" thickBo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9.5" thickBo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9.5" thickBo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9.5" thickBo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9.5" thickBo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9.5" thickBo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9.5" thickBo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9.5" thickBo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9.5" thickBo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9.5" thickBo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9.5" thickBo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9.5" thickBo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9.5" thickBo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9.5" thickBo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9.5" thickBo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9.5" thickBo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9.5" thickBo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9.5" thickBo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9.5" thickBo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9.5" thickBo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9.5" thickBo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9.5" thickBo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9.5" thickBo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9.5" thickBo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9.5" thickBo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9.5" thickBo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9.5" thickBo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9.5" thickBo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9.5" thickBo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9.5" thickBo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9.5" thickBo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9.5" thickBo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9.5" thickBo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9.5" thickBo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9.5" thickBo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9.5" thickBo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9.5" thickBo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9.5" thickBo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9.5" thickBo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9.5" thickBo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9.5" thickBo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9.5" thickBo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9.5" thickBo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9.5" thickBo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9.5" thickBo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9.5" thickBo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9.5" thickBo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9.5" thickBo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9.5" thickBo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9.5" thickBo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9.5" thickBo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9.5" thickBo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9.5" thickBo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9.5" thickBo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9.5" thickBo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9.5" thickBo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9.5" thickBo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9.5" thickBo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9.5" thickBo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9.5" thickBo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9.5" thickBo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9.5" thickBo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9.5" thickBo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9.5" thickBo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9.5" thickBo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9.5" thickBo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9.5" thickBo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9.5" thickBo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9.5" thickBo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9.5" thickBo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9.5" thickBo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9.5" thickBo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9.5" thickBo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9.5" thickBo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9.5" thickBo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9.5" thickBo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9.5" thickBo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9.5" thickBo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9.5" thickBo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9.5" thickBo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9.5" thickBo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9.5" thickBo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9.5" thickBo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9.5" thickBo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9.5" thickBo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9.5" thickBo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9.5" thickBo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9.5" thickBo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9.5" thickBo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9.5" thickBo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9.5" thickBo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9.5" thickBo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9.5" thickBo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9.5" thickBo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9.5" thickBo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9.5" thickBo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9.5" thickBo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9.5" thickBo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9.5" thickBo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9.5" thickBo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9.5" thickBo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9.5" thickBo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9.5" thickBo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9.5" thickBo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9.5" thickBo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9.5" thickBo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9.5" thickBo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9.5" thickBo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9.5" thickBo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9.5" thickBo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9.5" thickBo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9.5" thickBo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9.5" thickBo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9.5" thickBo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9.5" thickBo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9.5" thickBo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9.5" thickBo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9.5" thickBo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9.5" thickBo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9.5" thickBo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9.5" thickBo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9.5" thickBo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9.5" thickBo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9.5" thickBo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9.5" thickBo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9.5" thickBo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9.5" thickBo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9.5" thickBo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9.5" thickBo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9.5" thickBo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9.5" thickBo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9.5" thickBo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9.5" thickBo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9.5" thickBo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9.5" thickBo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9.5" thickBo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9.5" thickBo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9.5" thickBo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9.5" thickBo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9.5" thickBo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9.5" thickBo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9.5" thickBo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9.5" thickBo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9.5" thickBo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9.5" thickBo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9.5" thickBo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9.5" thickBo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9.5" thickBo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9.5" thickBo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9.5" thickBo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9.5" thickBo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9.5" thickBo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9.5" thickBo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9.5" thickBo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9.5" thickBo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9.5" thickBo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9.5" thickBo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9.5" thickBo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9.5" thickBo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9.5" thickBo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9.5" thickBo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9.5" thickBo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9.5" thickBo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9.5" thickBo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9.5" thickBo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9.5" thickBo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9.5" thickBo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9.5" thickBo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9.5" thickBo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9.5" thickBo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9.5" thickBo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9.5" thickBo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9.5" thickBo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9.5" thickBo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9.5" thickBo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9.5" thickBo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9.5" thickBo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9.5" thickBo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9.5" thickBo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9.5" thickBo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9.5" thickBo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9.5" thickBo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9.5" thickBo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9.5" thickBo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9.5" thickBo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9.5" thickBo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9.5" thickBo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9.5" thickBo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9.5" thickBo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9.5" thickBo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9.5" thickBo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9.5" thickBo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9.5" thickBo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9.5" thickBo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9.5" thickBo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9.5" thickBo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9.5" thickBo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9.5" thickBo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9.5" thickBo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9.5" thickBo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9.5" thickBo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9.5" thickBo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9.5" thickBo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9.5" thickBo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9.5" thickBo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9.5" thickBo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9.5" thickBo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9.5" thickBo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9.5" thickBo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9.5" thickBo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9.5" thickBo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9.5" thickBo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9.5" thickBo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9.5" thickBo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9.5" thickBo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9.5" thickBo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9.5" thickBo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9.5" thickBo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9.5" thickBo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9.5" thickBo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9.5" thickBo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9.5" thickBo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9.5" thickBo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9.5" thickBo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9.5" thickBo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9.5" thickBo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9.5" thickBo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9.5" thickBo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9.5" thickBo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9.5" thickBo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9.5" thickBo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9.5" thickBo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9.5" thickBo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9.5" thickBo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9.5" thickBo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9.5" thickBo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9.5" thickBo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9.5" thickBo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9.5" thickBo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9.5" thickBo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9.5" thickBo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9.5" thickBo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9.5" thickBo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9.5" thickBo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9.5" thickBo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9.5" thickBo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9.5" thickBo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9.5" thickBo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9.5" thickBo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9.5" thickBo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9.5" thickBo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9.5" thickBo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9.5" thickBo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9.5" thickBo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9.5" thickBo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9.5" thickBo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9.5" thickBo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9.5" thickBo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9.5" thickBo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9.5" thickBo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9.5" thickBo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9.5" thickBo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9.5" thickBo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9.5" thickBo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9.5" thickBo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9.5" thickBo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9.5" thickBo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9.5" thickBo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9.5" thickBo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9.5" thickBo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9.5" thickBo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9.5" thickBo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9.5" thickBo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9.5" thickBo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9.5" thickBo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9.5" thickBo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9.5" thickBo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9.5" thickBo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9.5" thickBo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9.5" thickBo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9.5" thickBo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9.5" thickBo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9.5" thickBo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9.5" thickBo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9.5" thickBo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9.5" thickBo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9.5" thickBo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9.5" thickBo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9.5" thickBo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9.5" thickBo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9.5" thickBo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9.5" thickBo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9.5" thickBo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9.5" thickBo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9.5" thickBo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9.5" thickBo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9.5" thickBo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9.5" thickBo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9.5" thickBo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9.5" thickBo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9.5" thickBo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9.5" thickBo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9.5" thickBo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9.5" thickBo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 Mokariya</dc:creator>
  <cp:lastModifiedBy>Bhavin Mokariya</cp:lastModifiedBy>
  <dcterms:created xsi:type="dcterms:W3CDTF">2024-06-08T09:19:53Z</dcterms:created>
  <dcterms:modified xsi:type="dcterms:W3CDTF">2024-06-08T10:32:34Z</dcterms:modified>
</cp:coreProperties>
</file>